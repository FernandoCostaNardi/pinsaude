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elladislaudemelosousa/Desktop/"/>
    </mc:Choice>
  </mc:AlternateContent>
  <xr:revisionPtr revIDLastSave="0" documentId="8_{92469D8E-0B43-4541-9F2F-FCDEF55D0AC7}" xr6:coauthVersionLast="47" xr6:coauthVersionMax="47" xr10:uidLastSave="{00000000-0000-0000-0000-000000000000}"/>
  <bookViews>
    <workbookView xWindow="0" yWindow="760" windowWidth="34560" windowHeight="20540" xr2:uid="{00000000-000D-0000-FFFF-FFFF00000000}"/>
  </bookViews>
  <sheets>
    <sheet name="impressao" sheetId="1" r:id="rId1"/>
    <sheet name="Planilha2" sheetId="3" r:id="rId2"/>
    <sheet name="Apoio" sheetId="2" r:id="rId3"/>
  </sheets>
  <definedNames>
    <definedName name="_xlnm.Print_Area" localSheetId="0">impressao!$A$1:$H$48</definedName>
    <definedName name="Diurno">Apoio!$A$2:$A$4</definedName>
    <definedName name="Noturno">Apoio!$B$2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I15" i="1" s="1"/>
  <c r="J15" i="1" s="1"/>
  <c r="I22" i="3"/>
  <c r="I20" i="1"/>
  <c r="J20" i="1" s="1"/>
  <c r="K20" i="1"/>
  <c r="I21" i="1"/>
  <c r="J21" i="1" s="1"/>
  <c r="K21" i="1"/>
  <c r="I22" i="1"/>
  <c r="J22" i="1" s="1"/>
  <c r="K22" i="1"/>
  <c r="I23" i="1"/>
  <c r="J23" i="1"/>
  <c r="K23" i="1"/>
  <c r="I24" i="1"/>
  <c r="J24" i="1" s="1"/>
  <c r="K24" i="1"/>
  <c r="I25" i="1"/>
  <c r="J25" i="1" s="1"/>
  <c r="K25" i="1"/>
  <c r="K16" i="1"/>
  <c r="K17" i="1"/>
  <c r="K18" i="1"/>
  <c r="K19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15" i="1"/>
  <c r="F22" i="1" l="1"/>
  <c r="F23" i="1"/>
  <c r="I18" i="1"/>
  <c r="J18" i="1" s="1"/>
  <c r="I19" i="1"/>
  <c r="J19" i="1" s="1"/>
  <c r="F24" i="1"/>
  <c r="F25" i="1"/>
  <c r="I26" i="1"/>
  <c r="I27" i="1"/>
  <c r="I28" i="1"/>
  <c r="I29" i="1"/>
  <c r="I30" i="1"/>
  <c r="I31" i="1"/>
  <c r="I32" i="1"/>
  <c r="I33" i="1"/>
  <c r="I34" i="1"/>
  <c r="J34" i="1" s="1"/>
  <c r="F34" i="1" s="1"/>
  <c r="I35" i="1"/>
  <c r="J35" i="1" s="1"/>
  <c r="F35" i="1" s="1"/>
  <c r="I36" i="1"/>
  <c r="J36" i="1" s="1"/>
  <c r="F36" i="1" s="1"/>
  <c r="I37" i="1"/>
  <c r="J37" i="1" s="1"/>
  <c r="F37" i="1" s="1"/>
  <c r="I38" i="1"/>
  <c r="J38" i="1" s="1"/>
  <c r="F38" i="1" s="1"/>
  <c r="I39" i="1"/>
  <c r="J39" i="1" s="1"/>
  <c r="F39" i="1" s="1"/>
  <c r="I40" i="1"/>
  <c r="J40" i="1" s="1"/>
  <c r="F40" i="1" s="1"/>
  <c r="I41" i="1"/>
  <c r="J41" i="1" s="1"/>
  <c r="F41" i="1" s="1"/>
  <c r="I42" i="1"/>
  <c r="J42" i="1" s="1"/>
  <c r="F42" i="1" s="1"/>
  <c r="I43" i="1"/>
  <c r="J43" i="1" s="1"/>
  <c r="F43" i="1" s="1"/>
  <c r="I44" i="1"/>
  <c r="J44" i="1" s="1"/>
  <c r="F44" i="1" s="1"/>
  <c r="I45" i="1"/>
  <c r="J45" i="1" s="1"/>
  <c r="F45" i="1" s="1"/>
  <c r="F15" i="1"/>
  <c r="J32" i="1" l="1"/>
  <c r="F32" i="1" s="1"/>
  <c r="J31" i="1"/>
  <c r="F31" i="1" s="1"/>
  <c r="J30" i="1"/>
  <c r="F30" i="1" s="1"/>
  <c r="J27" i="1"/>
  <c r="F27" i="1" s="1"/>
  <c r="J26" i="1"/>
  <c r="F26" i="1" s="1"/>
  <c r="J33" i="1"/>
  <c r="F33" i="1" s="1"/>
  <c r="J29" i="1"/>
  <c r="F29" i="1" s="1"/>
  <c r="J28" i="1"/>
  <c r="F28" i="1" s="1"/>
  <c r="F21" i="1"/>
  <c r="F20" i="1"/>
  <c r="F19" i="1"/>
  <c r="F18" i="1"/>
  <c r="I17" i="1"/>
  <c r="J17" i="1" s="1"/>
  <c r="I16" i="1"/>
  <c r="J16" i="1" s="1"/>
  <c r="F16" i="1" s="1"/>
  <c r="F17" i="1" l="1"/>
</calcChain>
</file>

<file path=xl/sharedStrings.xml><?xml version="1.0" encoding="utf-8"?>
<sst xmlns="http://schemas.openxmlformats.org/spreadsheetml/2006/main" count="145" uniqueCount="72">
  <si>
    <t>GOVERNO DO ESTADO DE PERNAMBUCO</t>
  </si>
  <si>
    <t>SECRETARIA DE SAÚDE DO ESTADO DE PERNAMBUCO</t>
  </si>
  <si>
    <t>SECRETARIA EXECUTIVA DE ADMINISTRAÇÃO E FINANÇAS</t>
  </si>
  <si>
    <t>DIRETORIA GERAL DE FINANÇAS</t>
  </si>
  <si>
    <t xml:space="preserve">RELATÓRIO DE FREQUÊNCIA MÉDICA </t>
  </si>
  <si>
    <t xml:space="preserve"> FREQUÊNCIA MÉDICA INDIVIDUAL </t>
  </si>
  <si>
    <t>Competência:</t>
  </si>
  <si>
    <t>Especialidade Médica:</t>
  </si>
  <si>
    <t>Nome do Médico Prestador:</t>
  </si>
  <si>
    <t>OCORRÊNCIA</t>
  </si>
  <si>
    <t>RUBRICA E  CARIMBO</t>
  </si>
  <si>
    <t>DATA</t>
  </si>
  <si>
    <t xml:space="preserve">TURNO </t>
  </si>
  <si>
    <t>HORÁRIO</t>
  </si>
  <si>
    <r>
      <t xml:space="preserve">__________________________
</t>
    </r>
    <r>
      <rPr>
        <sz val="10"/>
        <color rgb="FF000000"/>
        <rFont val="Arial"/>
        <family val="2"/>
      </rPr>
      <t>Assinatura do Prestador(a)</t>
    </r>
  </si>
  <si>
    <t xml:space="preserve">Empresa Prestadora do Serviço: </t>
  </si>
  <si>
    <t>PIN SAÚDE CNPJ: 34.761.993/0001-36</t>
  </si>
  <si>
    <t xml:space="preserve">Unidade de Saúde:  </t>
  </si>
  <si>
    <t>HOSPITAL DOM HELDER CAMARA</t>
  </si>
  <si>
    <t>MEDICO PLANTONISTA</t>
  </si>
  <si>
    <t>JOEL LADISLAU DE MELO SOUSA CRM-PE 19.412</t>
  </si>
  <si>
    <t>Diurno</t>
  </si>
  <si>
    <t>07:00 as 19:00</t>
  </si>
  <si>
    <t>EMERGÊNCIA CARDIOLÓGICA</t>
  </si>
  <si>
    <t xml:space="preserve">EMERGÊNCIA VASCULAR </t>
  </si>
  <si>
    <t xml:space="preserve">ENFERMARIA VASCULAR </t>
  </si>
  <si>
    <t>ENFERMARIA CARDIOLÓGICA</t>
  </si>
  <si>
    <t xml:space="preserve">DOMINGO </t>
  </si>
  <si>
    <t>SÁBADO</t>
  </si>
  <si>
    <t xml:space="preserve">SEGUNDA </t>
  </si>
  <si>
    <t>TERÇA</t>
  </si>
  <si>
    <t>QUARTA</t>
  </si>
  <si>
    <t>QUINTA</t>
  </si>
  <si>
    <t>SEXTA</t>
  </si>
  <si>
    <r>
      <t xml:space="preserve">__________________________________________
</t>
    </r>
    <r>
      <rPr>
        <sz val="10"/>
        <color rgb="FF000000"/>
        <rFont val="Arial"/>
        <family val="2"/>
      </rPr>
      <t>Assinatura da Direção Médica</t>
    </r>
  </si>
  <si>
    <t>Noturno</t>
  </si>
  <si>
    <t>19:00 as 07:00</t>
  </si>
  <si>
    <t>07:00 as 13:00</t>
  </si>
  <si>
    <t>13:00 as 19:00</t>
  </si>
  <si>
    <t>UTI -  CARDIOLOGICA/URCT</t>
  </si>
  <si>
    <t>UTI - CIRURGICA II/UCO</t>
  </si>
  <si>
    <t>UTI - CIRURGICA I (2 andar)</t>
  </si>
  <si>
    <t>Serviço de Ecocardiograma</t>
  </si>
  <si>
    <t>Serviço de Ergometria</t>
  </si>
  <si>
    <t>EMERGÊNCIA CLÍNICA</t>
  </si>
  <si>
    <t>Sala de Recuperação Pos Anestésica (SRPA)</t>
  </si>
  <si>
    <t>EMERGÊNCIA CIRURGICA</t>
  </si>
  <si>
    <t>UTI - CARDIOLOGICA/URCT</t>
  </si>
  <si>
    <t>Setor</t>
  </si>
  <si>
    <t>__________________________________________Assinatura do Diretor Administrativo Financeiro da unidade</t>
  </si>
  <si>
    <t>Líder</t>
  </si>
  <si>
    <t xml:space="preserve">Mês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</si>
  <si>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</si>
  <si>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</si>
  <si>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</si>
  <si>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</si>
  <si>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</si>
  <si>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</si>
  <si>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</si>
  <si>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</si>
  <si>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</si>
  <si>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</si>
  <si>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</si>
  <si>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</si>
  <si>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</si>
  <si>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HDH - FGH - Hospital Dom Helder</t>
  </si>
  <si>
    <t>Venda</t>
  </si>
  <si>
    <t>Faturado </t>
  </si>
  <si>
    <t>SN - 2600000000115</t>
  </si>
  <si>
    <t>SN - 2600000000116</t>
  </si>
  <si>
    <t>2026 - 2600000000092</t>
  </si>
  <si>
    <t>2026 - 2600000000118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</si>
</sst>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mmmm\,\ yyyy;@"/>
  </numFmts>
  <fonts count="22" x14ac:knownFonts="1">
    <font>
      <sz val="11"/>
      <color theme="1"/>
      <name val="Calibri"/>
      <family val="2"/>
      <scheme val="minor"/>
    </font>
    <font>
      <b/>
      <sz val="12"/>
      <name val="Arial"/>
      <family val="2"/>
      <charset val="1"/>
    </font>
    <font>
      <b/>
      <sz val="10"/>
      <name val="Arial"/>
      <family val="2"/>
      <charset val="1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4"/>
      <color rgb="FF575757"/>
      <name val="Helvetica Neue"/>
      <family val="2"/>
    </font>
    <font>
      <sz val="12"/>
      <color rgb="FF333333"/>
      <name val="Helvetica Neue"/>
      <family val="2"/>
    </font>
    <font>
      <sz val="14"/>
      <color rgb="FF333333"/>
      <name val="Helvetica Neue"/>
      <family val="2"/>
    </font>
    <font>
      <sz val="12"/>
      <color rgb="FF075638"/>
      <name val="Helvetica Neue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5">
    <xf numFmtId="0" fontId="0" fillId="0" borderId="0" xfId="0"/>
    <xf numFmtId="0" fontId="3" fillId="0" borderId="0" xfId="0" applyFont="1" applyAlignment="1">
      <alignment horizontal="left" vertical="center" wrapText="1"/>
    </xf>
    <xf numFmtId="164" fontId="1" fillId="0" borderId="0" xfId="0" applyNumberFormat="1" applyFont="1" applyAlignment="1" applyProtection="1">
      <alignment horizontal="left"/>
      <protection hidden="1"/>
    </xf>
    <xf numFmtId="0" fontId="0" fillId="0" borderId="9" xfId="0" applyBorder="1"/>
    <xf numFmtId="164" fontId="1" fillId="0" borderId="10" xfId="0" applyNumberFormat="1" applyFont="1" applyBorder="1" applyAlignment="1" applyProtection="1">
      <alignment horizontal="left"/>
      <protection hidden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2" fillId="0" borderId="0" xfId="0" applyNumberFormat="1" applyFont="1" applyAlignment="1" applyProtection="1">
      <alignment horizontal="left"/>
      <protection hidden="1"/>
    </xf>
    <xf numFmtId="0" fontId="0" fillId="0" borderId="14" xfId="0" applyBorder="1"/>
    <xf numFmtId="164" fontId="1" fillId="0" borderId="15" xfId="0" applyNumberFormat="1" applyFont="1" applyBorder="1" applyAlignment="1" applyProtection="1">
      <alignment horizontal="left"/>
      <protection hidden="1"/>
    </xf>
    <xf numFmtId="0" fontId="0" fillId="0" borderId="16" xfId="0" applyBorder="1"/>
    <xf numFmtId="164" fontId="1" fillId="0" borderId="9" xfId="0" applyNumberFormat="1" applyFont="1" applyBorder="1" applyAlignment="1" applyProtection="1">
      <alignment horizontal="left"/>
      <protection hidden="1"/>
    </xf>
    <xf numFmtId="164" fontId="1" fillId="0" borderId="12" xfId="0" applyNumberFormat="1" applyFont="1" applyBorder="1" applyAlignment="1" applyProtection="1">
      <alignment horizontal="left"/>
      <protection hidden="1"/>
    </xf>
    <xf numFmtId="164" fontId="10" fillId="0" borderId="14" xfId="0" applyNumberFormat="1" applyFont="1" applyBorder="1" applyAlignment="1" applyProtection="1">
      <alignment horizontal="left"/>
      <protection hidden="1"/>
    </xf>
    <xf numFmtId="0" fontId="6" fillId="0" borderId="3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4" fontId="12" fillId="0" borderId="22" xfId="0" applyNumberFormat="1" applyFont="1" applyBorder="1" applyAlignment="1">
      <alignment horizontal="center" vertical="center"/>
    </xf>
    <xf numFmtId="14" fontId="12" fillId="0" borderId="34" xfId="0" applyNumberFormat="1" applyFont="1" applyBorder="1" applyAlignment="1">
      <alignment horizontal="center" vertical="center"/>
    </xf>
    <xf numFmtId="0" fontId="0" fillId="0" borderId="2" xfId="0" applyBorder="1" applyProtection="1">
      <protection locked="0"/>
    </xf>
    <xf numFmtId="0" fontId="0" fillId="0" borderId="33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36" xfId="0" applyBorder="1" applyProtection="1">
      <protection locked="0"/>
    </xf>
    <xf numFmtId="20" fontId="0" fillId="0" borderId="0" xfId="0" applyNumberFormat="1"/>
    <xf numFmtId="0" fontId="14" fillId="0" borderId="2" xfId="0" applyFont="1" applyBorder="1" applyAlignment="1" applyProtection="1">
      <alignment horizontal="center" vertical="center"/>
      <protection locked="0"/>
    </xf>
    <xf numFmtId="0" fontId="0" fillId="2" borderId="0" xfId="0" applyFill="1"/>
    <xf numFmtId="20" fontId="0" fillId="2" borderId="0" xfId="0" applyNumberFormat="1" applyFill="1"/>
    <xf numFmtId="0" fontId="0" fillId="3" borderId="0" xfId="0" applyFill="1"/>
    <xf numFmtId="0" fontId="15" fillId="3" borderId="0" xfId="0" applyFont="1" applyFill="1"/>
    <xf numFmtId="0" fontId="16" fillId="0" borderId="0" xfId="0" applyFont="1"/>
    <xf numFmtId="0" fontId="14" fillId="0" borderId="35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>
      <alignment horizontal="center" vertical="center"/>
    </xf>
    <xf numFmtId="14" fontId="17" fillId="0" borderId="0" xfId="0" applyNumberFormat="1" applyFont="1"/>
    <xf numFmtId="0" fontId="17" fillId="0" borderId="0" xfId="0" applyFont="1"/>
    <xf numFmtId="0" fontId="18" fillId="0" borderId="0" xfId="0" applyFont="1"/>
    <xf numFmtId="4" fontId="0" fillId="0" borderId="0" xfId="0" applyNumberFormat="1"/>
    <xf numFmtId="4" fontId="19" fillId="0" borderId="0" xfId="0" applyNumberFormat="1" applyFont="1"/>
    <xf numFmtId="0" fontId="20" fillId="0" borderId="0" xfId="0" applyFont="1"/>
    <xf numFmtId="0" fontId="0" fillId="0" borderId="33" xfId="0" applyBorder="1" applyAlignment="1" applyProtection="1">
      <alignment horizontal="center" vertical="center"/>
      <protection locked="0"/>
    </xf>
    <xf numFmtId="0" fontId="6" fillId="0" borderId="40" xfId="0" applyFont="1" applyBorder="1" applyAlignment="1">
      <alignment horizontal="center" vertical="center"/>
    </xf>
    <xf numFmtId="165" fontId="11" fillId="0" borderId="8" xfId="0" applyNumberFormat="1" applyFont="1" applyBorder="1" applyAlignment="1" applyProtection="1">
      <alignment horizontal="center" vertical="center"/>
      <protection locked="0"/>
    </xf>
    <xf numFmtId="165" fontId="11" fillId="0" borderId="5" xfId="0" applyNumberFormat="1" applyFont="1" applyBorder="1" applyAlignment="1" applyProtection="1">
      <alignment horizontal="center" vertical="center"/>
      <protection locked="0"/>
    </xf>
    <xf numFmtId="165" fontId="11" fillId="0" borderId="23" xfId="0" applyNumberFormat="1" applyFont="1" applyBorder="1" applyAlignment="1" applyProtection="1">
      <alignment horizontal="center" vertical="center"/>
      <protection locked="0"/>
    </xf>
    <xf numFmtId="165" fontId="11" fillId="0" borderId="28" xfId="0" applyNumberFormat="1" applyFont="1" applyBorder="1" applyAlignment="1" applyProtection="1">
      <alignment horizontal="center" vertical="center"/>
      <protection locked="0"/>
    </xf>
    <xf numFmtId="165" fontId="11" fillId="0" borderId="29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wrapText="1"/>
    </xf>
    <xf numFmtId="0" fontId="8" fillId="0" borderId="39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38" xfId="0" applyFont="1" applyBorder="1" applyAlignment="1">
      <alignment horizontal="center" wrapText="1"/>
    </xf>
    <xf numFmtId="164" fontId="9" fillId="0" borderId="37" xfId="0" applyNumberFormat="1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25" xfId="0" applyFont="1" applyBorder="1" applyAlignment="1">
      <alignment horizontal="right" vertical="center" wrapText="1"/>
    </xf>
    <xf numFmtId="0" fontId="8" fillId="0" borderId="26" xfId="0" applyFont="1" applyBorder="1" applyAlignment="1">
      <alignment horizontal="right" vertical="center" wrapText="1"/>
    </xf>
    <xf numFmtId="0" fontId="8" fillId="0" borderId="24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right" vertical="center" wrapText="1"/>
    </xf>
    <xf numFmtId="0" fontId="5" fillId="0" borderId="8" xfId="0" applyFont="1" applyBorder="1" applyAlignment="1" applyProtection="1">
      <alignment horizontal="left" vertical="center" wrapText="1" indent="3"/>
      <protection locked="0"/>
    </xf>
    <xf numFmtId="0" fontId="5" fillId="0" borderId="5" xfId="0" applyFont="1" applyBorder="1" applyAlignment="1" applyProtection="1">
      <alignment horizontal="left" vertical="center" wrapText="1" indent="3"/>
      <protection locked="0"/>
    </xf>
    <xf numFmtId="0" fontId="5" fillId="0" borderId="23" xfId="0" applyFont="1" applyBorder="1" applyAlignment="1" applyProtection="1">
      <alignment horizontal="left" vertical="center" wrapText="1" indent="3"/>
      <protection locked="0"/>
    </xf>
    <xf numFmtId="0" fontId="11" fillId="0" borderId="19" xfId="0" applyFont="1" applyBorder="1" applyAlignment="1">
      <alignment horizontal="left" vertical="center" indent="3"/>
    </xf>
    <xf numFmtId="0" fontId="11" fillId="0" borderId="20" xfId="0" applyFont="1" applyBorder="1" applyAlignment="1">
      <alignment horizontal="left" vertical="center" indent="3"/>
    </xf>
    <xf numFmtId="0" fontId="11" fillId="0" borderId="21" xfId="0" applyFont="1" applyBorder="1" applyAlignment="1">
      <alignment horizontal="left" vertical="center" indent="3"/>
    </xf>
    <xf numFmtId="0" fontId="8" fillId="0" borderId="24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17" xfId="0" applyFont="1" applyBorder="1" applyAlignment="1">
      <alignment horizontal="right" vertical="center"/>
    </xf>
    <xf numFmtId="0" fontId="8" fillId="0" borderId="18" xfId="0" applyFont="1" applyBorder="1" applyAlignment="1">
      <alignment horizontal="right" vertical="center"/>
    </xf>
    <xf numFmtId="0" fontId="8" fillId="0" borderId="2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indent="3"/>
    </xf>
    <xf numFmtId="0" fontId="11" fillId="0" borderId="5" xfId="0" applyFont="1" applyBorder="1" applyAlignment="1">
      <alignment horizontal="left" vertical="center" indent="3"/>
    </xf>
    <xf numFmtId="0" fontId="11" fillId="0" borderId="23" xfId="0" applyFont="1" applyBorder="1" applyAlignment="1">
      <alignment horizontal="left" vertical="center" indent="3"/>
    </xf>
    <xf numFmtId="0" fontId="5" fillId="0" borderId="27" xfId="0" applyFont="1" applyBorder="1" applyAlignment="1" applyProtection="1">
      <alignment horizontal="center" vertical="center" wrapText="1"/>
      <protection locked="0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17" fillId="0" borderId="0" xfId="0" applyFont="1"/>
    <xf numFmtId="14" fontId="17" fillId="0" borderId="0" xfId="0" applyNumberFormat="1" applyFont="1"/>
    <xf numFmtId="4" fontId="19" fillId="0" borderId="0" xfId="0" applyNumberFormat="1" applyFont="1"/>
    <xf numFmtId="0" fontId="20" fillId="0" borderId="0" xfId="0" applyFont="1"/>
    <xf numFmtId="0" fontId="2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302847</xdr:colOff>
      <xdr:row>1</xdr:row>
      <xdr:rowOff>97692</xdr:rowOff>
    </xdr:from>
    <xdr:to>
      <xdr:col>2</xdr:col>
      <xdr:colOff>966423</xdr:colOff>
      <xdr:row>5</xdr:row>
      <xdr:rowOff>97692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770" y="302846"/>
          <a:ext cx="1706442" cy="8206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;" TargetMode="External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4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49"/>
  <sheetViews>
    <sheetView showGridLines="0" tabSelected="1" zoomScaleNormal="100" workbookViewId="0">
      <selection activeCell="G17" sqref="G17"/>
    </sheetView>
  </sheetViews>
  <sheetFormatPr baseColWidth="10" defaultColWidth="8.83203125" defaultRowHeight="15" zeroHeight="1" x14ac:dyDescent="0.2"/>
  <cols>
    <col min="1" max="1" width="4.5" customWidth="1"/>
    <col min="2" max="2" width="14.33203125" customWidth="1"/>
    <col min="3" max="3" width="21.1640625" customWidth="1"/>
    <col min="4" max="4" width="20" customWidth="1"/>
    <col min="5" max="6" width="35.6640625" customWidth="1"/>
    <col min="7" max="7" width="7.33203125" customWidth="1"/>
    <col min="8" max="8" width="5.83203125" customWidth="1"/>
    <col min="9" max="10" width="11" style="31" customWidth="1"/>
    <col min="11" max="12" width="8.83203125" style="31" customWidth="1"/>
    <col min="13" max="13" width="27" style="31" customWidth="1"/>
    <col min="14" max="23" width="8.83203125" style="31"/>
  </cols>
  <sheetData>
    <row r="1" spans="2:11" ht="16" thickBot="1" x14ac:dyDescent="0.25"/>
    <row r="2" spans="2:11" ht="16" x14ac:dyDescent="0.2">
      <c r="B2" s="3"/>
      <c r="C2" s="5"/>
      <c r="D2" s="12" t="s">
        <v>0</v>
      </c>
      <c r="E2" s="4"/>
      <c r="F2" s="4"/>
      <c r="G2" s="5"/>
    </row>
    <row r="3" spans="2:11" ht="16" x14ac:dyDescent="0.2">
      <c r="B3" s="6"/>
      <c r="C3" s="7"/>
      <c r="D3" s="13" t="s">
        <v>1</v>
      </c>
      <c r="E3" s="2"/>
      <c r="F3" s="2"/>
      <c r="G3" s="7"/>
    </row>
    <row r="4" spans="2:11" ht="16" x14ac:dyDescent="0.2">
      <c r="B4" s="6"/>
      <c r="C4" s="7"/>
      <c r="D4" s="13" t="s">
        <v>2</v>
      </c>
      <c r="E4" s="2"/>
      <c r="F4" s="2"/>
      <c r="G4" s="7"/>
    </row>
    <row r="5" spans="2:11" ht="16" x14ac:dyDescent="0.2">
      <c r="B5" s="6"/>
      <c r="C5" s="7"/>
      <c r="D5" s="13" t="s">
        <v>3</v>
      </c>
      <c r="E5" s="8"/>
      <c r="F5" s="8"/>
      <c r="G5" s="7"/>
    </row>
    <row r="6" spans="2:11" ht="17" thickBot="1" x14ac:dyDescent="0.25">
      <c r="B6" s="9"/>
      <c r="C6" s="11"/>
      <c r="D6" s="14" t="s">
        <v>4</v>
      </c>
      <c r="E6" s="10"/>
      <c r="F6" s="10"/>
      <c r="G6" s="11"/>
    </row>
    <row r="7" spans="2:11" ht="22" customHeight="1" thickBot="1" x14ac:dyDescent="0.25">
      <c r="B7" s="51" t="s">
        <v>5</v>
      </c>
      <c r="C7" s="51"/>
      <c r="D7" s="51"/>
      <c r="E7" s="51"/>
      <c r="F7" s="51"/>
      <c r="G7" s="51"/>
    </row>
    <row r="8" spans="2:11" ht="20" customHeight="1" x14ac:dyDescent="0.2">
      <c r="B8" s="71" t="s">
        <v>17</v>
      </c>
      <c r="C8" s="72"/>
      <c r="D8" s="66" t="s">
        <v>18</v>
      </c>
      <c r="E8" s="67"/>
      <c r="F8" s="67"/>
      <c r="G8" s="68"/>
    </row>
    <row r="9" spans="2:11" ht="20" customHeight="1" x14ac:dyDescent="0.2">
      <c r="B9" s="73" t="s">
        <v>15</v>
      </c>
      <c r="C9" s="74"/>
      <c r="D9" s="75" t="s">
        <v>16</v>
      </c>
      <c r="E9" s="76"/>
      <c r="F9" s="76"/>
      <c r="G9" s="77"/>
    </row>
    <row r="10" spans="2:11" ht="20" customHeight="1" x14ac:dyDescent="0.2">
      <c r="B10" s="61" t="s">
        <v>8</v>
      </c>
      <c r="C10" s="62"/>
      <c r="D10" s="63" t="s">
        <v>20</v>
      </c>
      <c r="E10" s="64"/>
      <c r="F10" s="64"/>
      <c r="G10" s="65"/>
    </row>
    <row r="11" spans="2:11" ht="20" customHeight="1" x14ac:dyDescent="0.2">
      <c r="B11" s="69" t="s">
        <v>6</v>
      </c>
      <c r="C11" s="70"/>
      <c r="D11" s="42" t="s">
        <v>56</v>
      </c>
      <c r="E11" s="43"/>
      <c r="F11" s="43"/>
      <c r="G11" s="44"/>
    </row>
    <row r="12" spans="2:11" ht="20" customHeight="1" thickBot="1" x14ac:dyDescent="0.25">
      <c r="B12" s="59" t="s">
        <v>7</v>
      </c>
      <c r="C12" s="60"/>
      <c r="D12" s="78" t="s">
        <v>19</v>
      </c>
      <c r="E12" s="79"/>
      <c r="F12" s="45" t="s">
        <v>39</v>
      </c>
      <c r="G12" s="46"/>
    </row>
    <row r="13" spans="2:11" ht="14.25" customHeight="1" thickBot="1" x14ac:dyDescent="0.25">
      <c r="B13" s="1"/>
      <c r="C13" s="1"/>
      <c r="D13" s="1"/>
      <c r="E13" s="1"/>
      <c r="F13" s="1"/>
      <c r="G13" s="1"/>
    </row>
    <row r="14" spans="2:11" ht="22" customHeight="1" x14ac:dyDescent="0.2">
      <c r="B14" s="15" t="s">
        <v>11</v>
      </c>
      <c r="C14" s="16" t="s">
        <v>12</v>
      </c>
      <c r="D14" s="17" t="s">
        <v>13</v>
      </c>
      <c r="E14" s="18" t="s">
        <v>10</v>
      </c>
      <c r="F14" s="33" t="s">
        <v>9</v>
      </c>
      <c r="G14" s="41" t="s">
        <v>50</v>
      </c>
    </row>
    <row r="15" spans="2:11" ht="24" customHeight="1" x14ac:dyDescent="0.2">
      <c r="B15" s="19">
        <f>DATE(Apoio!$J$2,MATCH(impressao!$D$11,Apoio!$I$2:$I$13,0),1)</f>
        <v>46143</v>
      </c>
      <c r="C15" s="26" t="s">
        <v>35</v>
      </c>
      <c r="D15" s="26" t="s">
        <v>36</v>
      </c>
      <c r="E15" s="21"/>
      <c r="F15" s="21" t="str">
        <f>IFERROR(CONCATENATE(J15,C15,K15),"")</f>
        <v>SEXTANoturno 12 horas</v>
      </c>
      <c r="G15" s="40"/>
      <c r="I15" s="31">
        <f>WEEKDAY(B15,2)</f>
        <v>5</v>
      </c>
      <c r="J15" s="31" t="str">
        <f>VLOOKUP(I15,Apoio!$F$2:$G$8,2,FALSE)</f>
        <v>SEXTA</v>
      </c>
      <c r="K15" s="31" t="str">
        <f>IF(D15="07:00 as 07:00"," 24 horas",IF(OR(D15="07:00 as 19:00",D15="19:00 as 07:00")," 12 horas"," 6 horas"))</f>
        <v xml:space="preserve"> 12 horas</v>
      </c>
    </row>
    <row r="16" spans="2:11" ht="24" customHeight="1" x14ac:dyDescent="0.2">
      <c r="B16" s="19">
        <v>46082</v>
      </c>
      <c r="C16" s="26" t="s">
        <v>21</v>
      </c>
      <c r="D16" s="26" t="s">
        <v>37</v>
      </c>
      <c r="E16" s="21"/>
      <c r="F16" s="21" t="str">
        <f>IFERROR(CONCATENATE(J16,C16,K16),"")</f>
        <v>DOMINGO Diurno 6 horas</v>
      </c>
      <c r="G16" s="22"/>
      <c r="I16" s="31">
        <f>WEEKDAY(B16,2)</f>
        <v>7</v>
      </c>
      <c r="J16" s="31" t="str">
        <f>VLOOKUP(I16,Apoio!$F$2:$G$8,2,FALSE)</f>
        <v xml:space="preserve">DOMINGO </v>
      </c>
      <c r="K16" s="31" t="str">
        <f>IF(D16="07:00 as 07:00"," 24 horas",IF(OR(D16="07:00 as 19:00",D16="19:00 as 07:00")," 12 horas"," 6 horas"))</f>
        <v xml:space="preserve"> 6 horas</v>
      </c>
    </row>
    <row r="17" spans="2:11" ht="24" customHeight="1" x14ac:dyDescent="0.2">
      <c r="B17" s="19">
        <v>46096</v>
      </c>
      <c r="C17" s="26" t="s">
        <v>35</v>
      </c>
      <c r="D17" s="26" t="s">
        <v>37</v>
      </c>
      <c r="E17" s="21"/>
      <c r="F17" s="21" t="str">
        <f>IFERROR(CONCATENATE(J17,C16,K17),"")</f>
        <v>DOMINGO Diurno 6 horas</v>
      </c>
      <c r="G17" s="22"/>
      <c r="I17" s="31">
        <f>WEEKDAY(B17,2)</f>
        <v>7</v>
      </c>
      <c r="J17" s="31" t="str">
        <f>VLOOKUP(I17,Apoio!$F$2:$G$8,2,FALSE)</f>
        <v xml:space="preserve">DOMINGO </v>
      </c>
      <c r="K17" s="31" t="str">
        <f>IF(D17="07:00 as 07:00"," 24 horas",IF(OR(D17="07:00 as 19:00",D17="19:00 as 07:00")," 12 horas"," 6 horas"))</f>
        <v xml:space="preserve"> 6 horas</v>
      </c>
    </row>
    <row r="18" spans="2:11" ht="24" customHeight="1" x14ac:dyDescent="0.2">
      <c r="B18" s="19">
        <v>46096</v>
      </c>
      <c r="C18" s="26" t="s">
        <v>21</v>
      </c>
      <c r="D18" s="26" t="s">
        <v>37</v>
      </c>
      <c r="E18" s="21"/>
      <c r="F18" s="21" t="str">
        <f>IFERROR(CONCATENATE(J18,C18,K18),"")</f>
        <v>DOMINGO Diurno 6 horas</v>
      </c>
      <c r="G18" s="22"/>
      <c r="I18" s="31">
        <f>WEEKDAY(B18,2)</f>
        <v>7</v>
      </c>
      <c r="J18" s="31" t="str">
        <f>VLOOKUP(I18,Apoio!$F$2:$G$8,2,FALSE)</f>
        <v xml:space="preserve">DOMINGO </v>
      </c>
      <c r="K18" s="31" t="str">
        <f>IF(D18="07:00 as 07:00"," 24 horas",IF(OR(D18="07:00 as 19:00",D18="19:00 as 07:00")," 12 horas"," 6 horas"))</f>
        <v xml:space="preserve"> 6 horas</v>
      </c>
    </row>
    <row r="19" spans="2:11" ht="24" customHeight="1" x14ac:dyDescent="0.2">
      <c r="B19" s="19">
        <v>46110</v>
      </c>
      <c r="C19" s="26" t="s">
        <v>35</v>
      </c>
      <c r="D19" s="26" t="s">
        <v>37</v>
      </c>
      <c r="E19" s="21"/>
      <c r="F19" s="21" t="str">
        <f>IFERROR(CONCATENATE(J19,C19,K19),"")</f>
        <v>DOMINGO Noturno 6 horas</v>
      </c>
      <c r="G19" s="22"/>
      <c r="I19" s="31">
        <f>WEEKDAY(B19,2)</f>
        <v>7</v>
      </c>
      <c r="J19" s="31" t="str">
        <f>VLOOKUP(I19,Apoio!$F$2:$G$8,2,FALSE)</f>
        <v xml:space="preserve">DOMINGO </v>
      </c>
      <c r="K19" s="31" t="str">
        <f>IF(D19="07:00 as 07:00"," 24 horas",IF(OR(D19="07:00 as 19:00",D19="19:00 as 07:00")," 12 horas"," 6 horas"))</f>
        <v xml:space="preserve"> 6 horas</v>
      </c>
    </row>
    <row r="20" spans="2:11" ht="24" customHeight="1" x14ac:dyDescent="0.2">
      <c r="B20" s="19">
        <v>46110</v>
      </c>
      <c r="C20" s="26" t="s">
        <v>21</v>
      </c>
      <c r="D20" s="26" t="s">
        <v>37</v>
      </c>
      <c r="E20" s="21"/>
      <c r="F20" s="21" t="str">
        <f>IFERROR(CONCATENATE(J20,C20,K20),"")</f>
        <v>DOMINGO Diurno 6 horas</v>
      </c>
      <c r="G20" s="22"/>
      <c r="I20" s="31">
        <f t="shared" ref="I20:I25" si="0">WEEKDAY(B20,2)</f>
        <v>7</v>
      </c>
      <c r="J20" s="31" t="str">
        <f>VLOOKUP(I20,Apoio!$F$2:$G$8,2,FALSE)</f>
        <v xml:space="preserve">DOMINGO </v>
      </c>
      <c r="K20" s="31" t="str">
        <f t="shared" ref="K20:K25" si="1">IF(D20="07:00 as 07:00"," 24 horas",IF(OR(D20="07:00 as 19:00",D20="19:00 as 07:00")," 12 horas"," 6 horas"))</f>
        <v xml:space="preserve"> 6 horas</v>
      </c>
    </row>
    <row r="21" spans="2:11" ht="24" customHeight="1" x14ac:dyDescent="0.2">
      <c r="B21" s="19">
        <v>46111</v>
      </c>
      <c r="C21" s="26" t="s">
        <v>35</v>
      </c>
      <c r="D21" s="26" t="s">
        <v>37</v>
      </c>
      <c r="E21" s="21"/>
      <c r="F21" s="21" t="str">
        <f>IFERROR(CONCATENATE(J21,C21,K21),"")</f>
        <v>SEGUNDA Noturno 6 horas</v>
      </c>
      <c r="G21" s="22"/>
      <c r="I21" s="31">
        <f t="shared" si="0"/>
        <v>1</v>
      </c>
      <c r="J21" s="31" t="str">
        <f>VLOOKUP(I21,Apoio!$F$2:$G$8,2,FALSE)</f>
        <v xml:space="preserve">SEGUNDA </v>
      </c>
      <c r="K21" s="31" t="str">
        <f t="shared" si="1"/>
        <v xml:space="preserve"> 6 horas</v>
      </c>
    </row>
    <row r="22" spans="2:11" ht="24" customHeight="1" x14ac:dyDescent="0.2">
      <c r="B22" s="19">
        <v>46112</v>
      </c>
      <c r="C22" s="26" t="s">
        <v>21</v>
      </c>
      <c r="D22" s="26" t="s">
        <v>37</v>
      </c>
      <c r="E22" s="21"/>
      <c r="F22" s="21" t="str">
        <f>IFERROR(CONCATENATE( J22, C22, K22),"")</f>
        <v>TERÇADiurno 6 horas</v>
      </c>
      <c r="G22" s="22"/>
      <c r="I22" s="31">
        <f t="shared" si="0"/>
        <v>2</v>
      </c>
      <c r="J22" s="31" t="str">
        <f>VLOOKUP(I22,Apoio!$F$2:$G$8,2,FALSE)</f>
        <v>TERÇA</v>
      </c>
      <c r="K22" s="31" t="str">
        <f t="shared" si="1"/>
        <v xml:space="preserve"> 6 horas</v>
      </c>
    </row>
    <row r="23" spans="2:11" ht="24" customHeight="1" x14ac:dyDescent="0.2">
      <c r="B23" s="19">
        <v>46113</v>
      </c>
      <c r="C23" s="26" t="s">
        <v>35</v>
      </c>
      <c r="D23" s="26" t="s">
        <v>36</v>
      </c>
      <c r="E23" s="21"/>
      <c r="F23" s="21" t="str">
        <f t="shared" ref="F23:F45" si="2">IFERROR(CONCATENATE(J23,C23,K23),"")</f>
        <v>QUARTANoturno 12 horas</v>
      </c>
      <c r="G23" s="22"/>
      <c r="I23" s="31">
        <f t="shared" si="0"/>
        <v>3</v>
      </c>
      <c r="J23" s="31" t="str">
        <f>VLOOKUP(I23,Apoio!$F$2:$G$8,2,FALSE)</f>
        <v>QUARTA</v>
      </c>
      <c r="K23" s="31" t="str">
        <f t="shared" si="1"/>
        <v xml:space="preserve"> 12 horas</v>
      </c>
    </row>
    <row r="24" spans="2:11" ht="24" customHeight="1" x14ac:dyDescent="0.2">
      <c r="B24" s="19">
        <v>46114</v>
      </c>
      <c r="C24" s="26" t="s">
        <v>21</v>
      </c>
      <c r="D24" s="26" t="s">
        <v>38</v>
      </c>
      <c r="E24" s="21"/>
      <c r="F24" s="21" t="str">
        <f t="shared" si="2"/>
        <v>QUINTADiurno 6 horas</v>
      </c>
      <c r="G24" s="22"/>
      <c r="I24" s="31">
        <f t="shared" si="0"/>
        <v>4</v>
      </c>
      <c r="J24" s="31" t="str">
        <f>VLOOKUP(I24,Apoio!$F$2:$G$8,2,FALSE)</f>
        <v>QUINTA</v>
      </c>
      <c r="K24" s="31" t="str">
        <f t="shared" si="1"/>
        <v xml:space="preserve"> 6 horas</v>
      </c>
    </row>
    <row r="25" spans="2:11" ht="24" customHeight="1" x14ac:dyDescent="0.2">
      <c r="B25" s="19">
        <v>46115</v>
      </c>
      <c r="C25" s="26" t="s">
        <v>35</v>
      </c>
      <c r="D25" s="26" t="s">
        <v>36</v>
      </c>
      <c r="E25" s="21"/>
      <c r="F25" s="21" t="str">
        <f t="shared" si="2"/>
        <v>SEXTANoturno 12 horas</v>
      </c>
      <c r="G25" s="22"/>
      <c r="I25" s="31">
        <f t="shared" si="0"/>
        <v>5</v>
      </c>
      <c r="J25" s="31" t="str">
        <f>VLOOKUP(I25,Apoio!$F$2:$G$8,2,FALSE)</f>
        <v>SEXTA</v>
      </c>
      <c r="K25" s="31" t="str">
        <f t="shared" si="1"/>
        <v xml:space="preserve"> 12 horas</v>
      </c>
    </row>
    <row r="26" spans="2:11" ht="24" customHeight="1" x14ac:dyDescent="0.2">
      <c r="B26" s="19">
        <v>46116</v>
      </c>
      <c r="C26" s="26" t="s">
        <v>21</v>
      </c>
      <c r="D26" s="26" t="s">
        <v>22</v>
      </c>
      <c r="E26" s="21"/>
      <c r="F26" s="21" t="str">
        <f t="shared" si="2"/>
        <v>SÁBADODiurno 12 horas</v>
      </c>
      <c r="G26" s="22"/>
      <c r="I26" s="31">
        <f t="shared" ref="I26:I45" si="3">WEEKDAY(B26,2)</f>
        <v>6</v>
      </c>
      <c r="J26" s="31" t="str">
        <f>VLOOKUP(I26,Apoio!$F$2:$G$8,2,FALSE)</f>
        <v>SÁBADO</v>
      </c>
      <c r="K26" s="31" t="str">
        <f t="shared" ref="K26:K45" si="4">IF(D26="07:00 as 07:00"," 24 horas",IF(OR(D26="07:00 as 19:00",D26="19:00 as 07:00")," 12 horas"," 6 horas"))</f>
        <v xml:space="preserve"> 12 horas</v>
      </c>
    </row>
    <row r="27" spans="2:11" ht="24" customHeight="1" x14ac:dyDescent="0.2">
      <c r="B27" s="19">
        <v>46117</v>
      </c>
      <c r="C27" s="26" t="s">
        <v>35</v>
      </c>
      <c r="D27" s="26" t="s">
        <v>22</v>
      </c>
      <c r="E27" s="21"/>
      <c r="F27" s="21" t="str">
        <f t="shared" si="2"/>
        <v>DOMINGO Noturno 12 horas</v>
      </c>
      <c r="G27" s="22"/>
      <c r="I27" s="31">
        <f t="shared" si="3"/>
        <v>7</v>
      </c>
      <c r="J27" s="31" t="str">
        <f>VLOOKUP(I27,Apoio!$F$2:$G$8,2,FALSE)</f>
        <v xml:space="preserve">DOMINGO </v>
      </c>
      <c r="K27" s="31" t="str">
        <f t="shared" si="4"/>
        <v xml:space="preserve"> 12 horas</v>
      </c>
    </row>
    <row r="28" spans="2:11" ht="24" customHeight="1" x14ac:dyDescent="0.2">
      <c r="B28" s="19">
        <v>46118</v>
      </c>
      <c r="C28" s="26" t="s">
        <v>21</v>
      </c>
      <c r="D28" s="26" t="s">
        <v>22</v>
      </c>
      <c r="E28" s="21"/>
      <c r="F28" s="21" t="str">
        <f t="shared" si="2"/>
        <v>SEGUNDA Diurno 12 horas</v>
      </c>
      <c r="G28" s="22"/>
      <c r="I28" s="31">
        <f t="shared" si="3"/>
        <v>1</v>
      </c>
      <c r="J28" s="31" t="str">
        <f>VLOOKUP(I28,Apoio!$F$2:$G$8,2,FALSE)</f>
        <v xml:space="preserve">SEGUNDA </v>
      </c>
      <c r="K28" s="31" t="str">
        <f t="shared" si="4"/>
        <v xml:space="preserve"> 12 horas</v>
      </c>
    </row>
    <row r="29" spans="2:11" ht="24" customHeight="1" x14ac:dyDescent="0.2">
      <c r="B29" s="19">
        <v>46119</v>
      </c>
      <c r="C29" s="26" t="s">
        <v>35</v>
      </c>
      <c r="D29" s="26" t="s">
        <v>36</v>
      </c>
      <c r="E29" s="21"/>
      <c r="F29" s="21" t="str">
        <f t="shared" si="2"/>
        <v>TERÇANoturno 12 horas</v>
      </c>
      <c r="G29" s="22"/>
      <c r="I29" s="31">
        <f t="shared" si="3"/>
        <v>2</v>
      </c>
      <c r="J29" s="31" t="str">
        <f>VLOOKUP(I29,Apoio!$F$2:$G$8,2,FALSE)</f>
        <v>TERÇA</v>
      </c>
      <c r="K29" s="31" t="str">
        <f t="shared" si="4"/>
        <v xml:space="preserve"> 12 horas</v>
      </c>
    </row>
    <row r="30" spans="2:11" ht="24" customHeight="1" x14ac:dyDescent="0.2">
      <c r="B30" s="19">
        <v>46120</v>
      </c>
      <c r="C30" s="26" t="s">
        <v>21</v>
      </c>
      <c r="D30" s="26" t="s">
        <v>22</v>
      </c>
      <c r="E30" s="21"/>
      <c r="F30" s="21" t="str">
        <f t="shared" si="2"/>
        <v>QUARTADiurno 12 horas</v>
      </c>
      <c r="G30" s="22"/>
      <c r="I30" s="31">
        <f t="shared" si="3"/>
        <v>3</v>
      </c>
      <c r="J30" s="31" t="str">
        <f>VLOOKUP(I30,Apoio!$F$2:$G$8,2,FALSE)</f>
        <v>QUARTA</v>
      </c>
      <c r="K30" s="31" t="str">
        <f t="shared" si="4"/>
        <v xml:space="preserve"> 12 horas</v>
      </c>
    </row>
    <row r="31" spans="2:11" ht="24" customHeight="1" x14ac:dyDescent="0.2">
      <c r="B31" s="19">
        <v>46121</v>
      </c>
      <c r="C31" s="26" t="s">
        <v>35</v>
      </c>
      <c r="D31" s="26" t="s">
        <v>22</v>
      </c>
      <c r="E31" s="21"/>
      <c r="F31" s="21" t="str">
        <f t="shared" si="2"/>
        <v>QUINTANoturno 12 horas</v>
      </c>
      <c r="G31" s="22"/>
      <c r="I31" s="31">
        <f t="shared" si="3"/>
        <v>4</v>
      </c>
      <c r="J31" s="31" t="str">
        <f>VLOOKUP(I31,Apoio!$F$2:$G$8,2,FALSE)</f>
        <v>QUINTA</v>
      </c>
      <c r="K31" s="31" t="str">
        <f t="shared" si="4"/>
        <v xml:space="preserve"> 12 horas</v>
      </c>
    </row>
    <row r="32" spans="2:11" ht="24" customHeight="1" x14ac:dyDescent="0.2">
      <c r="B32" s="19">
        <v>46122</v>
      </c>
      <c r="C32" s="26" t="s">
        <v>21</v>
      </c>
      <c r="D32" s="26" t="s">
        <v>22</v>
      </c>
      <c r="E32" s="21"/>
      <c r="F32" s="21" t="str">
        <f t="shared" si="2"/>
        <v>SEXTADiurno 12 horas</v>
      </c>
      <c r="G32" s="22"/>
      <c r="I32" s="31">
        <f t="shared" si="3"/>
        <v>5</v>
      </c>
      <c r="J32" s="31" t="str">
        <f>VLOOKUP(I32,Apoio!$F$2:$G$8,2,FALSE)</f>
        <v>SEXTA</v>
      </c>
      <c r="K32" s="31" t="str">
        <f t="shared" si="4"/>
        <v xml:space="preserve"> 12 horas</v>
      </c>
    </row>
    <row r="33" spans="2:11" ht="24" customHeight="1" x14ac:dyDescent="0.2">
      <c r="B33" s="19">
        <v>46123</v>
      </c>
      <c r="C33" s="26" t="s">
        <v>35</v>
      </c>
      <c r="D33" s="26" t="s">
        <v>22</v>
      </c>
      <c r="E33" s="21"/>
      <c r="F33" s="21" t="str">
        <f t="shared" si="2"/>
        <v>SÁBADONoturno 12 horas</v>
      </c>
      <c r="G33" s="22"/>
      <c r="I33" s="31">
        <f t="shared" si="3"/>
        <v>6</v>
      </c>
      <c r="J33" s="31" t="str">
        <f>VLOOKUP(I33,Apoio!$F$2:$G$8,2,FALSE)</f>
        <v>SÁBADO</v>
      </c>
      <c r="K33" s="31" t="str">
        <f t="shared" si="4"/>
        <v xml:space="preserve"> 12 horas</v>
      </c>
    </row>
    <row r="34" spans="2:11" ht="24" customHeight="1" x14ac:dyDescent="0.2">
      <c r="B34" s="19">
        <v>46124</v>
      </c>
      <c r="C34" s="26" t="s">
        <v>21</v>
      </c>
      <c r="D34" s="26" t="s">
        <v>22</v>
      </c>
      <c r="E34" s="21"/>
      <c r="F34" s="21" t="str">
        <f t="shared" si="2"/>
        <v>DOMINGO Diurno 12 horas</v>
      </c>
      <c r="G34" s="22"/>
      <c r="I34" s="31">
        <f t="shared" si="3"/>
        <v>7</v>
      </c>
      <c r="J34" s="31" t="str">
        <f>VLOOKUP(I34,Apoio!$F$2:$G$8,2,FALSE)</f>
        <v xml:space="preserve">DOMINGO </v>
      </c>
      <c r="K34" s="31" t="str">
        <f t="shared" si="4"/>
        <v xml:space="preserve"> 12 horas</v>
      </c>
    </row>
    <row r="35" spans="2:11" ht="24" customHeight="1" x14ac:dyDescent="0.2">
      <c r="B35" s="19">
        <v>46125</v>
      </c>
      <c r="C35" s="26" t="s">
        <v>35</v>
      </c>
      <c r="D35" s="26" t="s">
        <v>22</v>
      </c>
      <c r="E35" s="21"/>
      <c r="F35" s="21" t="str">
        <f t="shared" si="2"/>
        <v>SEGUNDA Noturno 12 horas</v>
      </c>
      <c r="G35" s="22"/>
      <c r="I35" s="31">
        <f t="shared" si="3"/>
        <v>1</v>
      </c>
      <c r="J35" s="31" t="str">
        <f>VLOOKUP(I35,Apoio!$F$2:$G$8,2,FALSE)</f>
        <v xml:space="preserve">SEGUNDA </v>
      </c>
      <c r="K35" s="31" t="str">
        <f t="shared" si="4"/>
        <v xml:space="preserve"> 12 horas</v>
      </c>
    </row>
    <row r="36" spans="2:11" ht="24" customHeight="1" x14ac:dyDescent="0.2">
      <c r="B36" s="19">
        <v>46126</v>
      </c>
      <c r="C36" s="26" t="s">
        <v>21</v>
      </c>
      <c r="D36" s="26" t="s">
        <v>22</v>
      </c>
      <c r="E36" s="21"/>
      <c r="F36" s="21" t="str">
        <f t="shared" si="2"/>
        <v>TERÇADiurno 12 horas</v>
      </c>
      <c r="G36" s="22"/>
      <c r="I36" s="31">
        <f t="shared" si="3"/>
        <v>2</v>
      </c>
      <c r="J36" s="31" t="str">
        <f>VLOOKUP(I36,Apoio!$F$2:$G$8,2,FALSE)</f>
        <v>TERÇA</v>
      </c>
      <c r="K36" s="31" t="str">
        <f t="shared" si="4"/>
        <v xml:space="preserve"> 12 horas</v>
      </c>
    </row>
    <row r="37" spans="2:11" ht="24" customHeight="1" x14ac:dyDescent="0.2">
      <c r="B37" s="19">
        <v>46127</v>
      </c>
      <c r="C37" s="26" t="s">
        <v>35</v>
      </c>
      <c r="D37" s="26" t="s">
        <v>22</v>
      </c>
      <c r="E37" s="21"/>
      <c r="F37" s="21" t="str">
        <f t="shared" si="2"/>
        <v>QUARTANoturno 12 horas</v>
      </c>
      <c r="G37" s="22"/>
      <c r="I37" s="31">
        <f t="shared" si="3"/>
        <v>3</v>
      </c>
      <c r="J37" s="31" t="str">
        <f>VLOOKUP(I37,Apoio!$F$2:$G$8,2,FALSE)</f>
        <v>QUARTA</v>
      </c>
      <c r="K37" s="31" t="str">
        <f t="shared" si="4"/>
        <v xml:space="preserve"> 12 horas</v>
      </c>
    </row>
    <row r="38" spans="2:11" ht="24" customHeight="1" x14ac:dyDescent="0.2">
      <c r="B38" s="19">
        <v>46128</v>
      </c>
      <c r="C38" s="26" t="s">
        <v>21</v>
      </c>
      <c r="D38" s="26" t="s">
        <v>22</v>
      </c>
      <c r="E38" s="21"/>
      <c r="F38" s="21" t="str">
        <f t="shared" si="2"/>
        <v>QUINTADiurno 12 horas</v>
      </c>
      <c r="G38" s="22"/>
      <c r="I38" s="31">
        <f t="shared" si="3"/>
        <v>4</v>
      </c>
      <c r="J38" s="31" t="str">
        <f>VLOOKUP(I38,Apoio!$F$2:$G$8,2,FALSE)</f>
        <v>QUINTA</v>
      </c>
      <c r="K38" s="31" t="str">
        <f t="shared" si="4"/>
        <v xml:space="preserve"> 12 horas</v>
      </c>
    </row>
    <row r="39" spans="2:11" ht="24" customHeight="1" x14ac:dyDescent="0.2">
      <c r="B39" s="19">
        <v>46129</v>
      </c>
      <c r="C39" s="26" t="s">
        <v>35</v>
      </c>
      <c r="D39" s="26" t="s">
        <v>22</v>
      </c>
      <c r="E39" s="21"/>
      <c r="F39" s="21" t="str">
        <f t="shared" si="2"/>
        <v>SEXTANoturno 12 horas</v>
      </c>
      <c r="G39" s="22"/>
      <c r="I39" s="31">
        <f t="shared" si="3"/>
        <v>5</v>
      </c>
      <c r="J39" s="31" t="str">
        <f>VLOOKUP(I39,Apoio!$F$2:$G$8,2,FALSE)</f>
        <v>SEXTA</v>
      </c>
      <c r="K39" s="31" t="str">
        <f t="shared" si="4"/>
        <v xml:space="preserve"> 12 horas</v>
      </c>
    </row>
    <row r="40" spans="2:11" ht="24" customHeight="1" x14ac:dyDescent="0.2">
      <c r="B40" s="19">
        <v>46130</v>
      </c>
      <c r="C40" s="26" t="s">
        <v>21</v>
      </c>
      <c r="D40" s="26" t="s">
        <v>22</v>
      </c>
      <c r="E40" s="21"/>
      <c r="F40" s="21" t="str">
        <f t="shared" si="2"/>
        <v>SÁBADODiurno 12 horas</v>
      </c>
      <c r="G40" s="22"/>
      <c r="I40" s="31">
        <f t="shared" si="3"/>
        <v>6</v>
      </c>
      <c r="J40" s="31" t="str">
        <f>VLOOKUP(I40,Apoio!$F$2:$G$8,2,FALSE)</f>
        <v>SÁBADO</v>
      </c>
      <c r="K40" s="31" t="str">
        <f t="shared" si="4"/>
        <v xml:space="preserve"> 12 horas</v>
      </c>
    </row>
    <row r="41" spans="2:11" ht="24" customHeight="1" x14ac:dyDescent="0.2">
      <c r="B41" s="19">
        <v>46131</v>
      </c>
      <c r="C41" s="26" t="s">
        <v>35</v>
      </c>
      <c r="D41" s="26" t="s">
        <v>22</v>
      </c>
      <c r="E41" s="21"/>
      <c r="F41" s="21" t="str">
        <f t="shared" si="2"/>
        <v>DOMINGO Noturno 12 horas</v>
      </c>
      <c r="G41" s="22"/>
      <c r="I41" s="31">
        <f t="shared" si="3"/>
        <v>7</v>
      </c>
      <c r="J41" s="31" t="str">
        <f>VLOOKUP(I41,Apoio!$F$2:$G$8,2,FALSE)</f>
        <v xml:space="preserve">DOMINGO </v>
      </c>
      <c r="K41" s="31" t="str">
        <f t="shared" si="4"/>
        <v xml:space="preserve"> 12 horas</v>
      </c>
    </row>
    <row r="42" spans="2:11" ht="24" customHeight="1" x14ac:dyDescent="0.2">
      <c r="B42" s="19">
        <v>46132</v>
      </c>
      <c r="C42" s="26" t="s">
        <v>21</v>
      </c>
      <c r="D42" s="26" t="s">
        <v>22</v>
      </c>
      <c r="E42" s="21"/>
      <c r="F42" s="21" t="str">
        <f t="shared" si="2"/>
        <v>SEGUNDA Diurno 12 horas</v>
      </c>
      <c r="G42" s="22"/>
      <c r="I42" s="31">
        <f t="shared" si="3"/>
        <v>1</v>
      </c>
      <c r="J42" s="31" t="str">
        <f>VLOOKUP(I42,Apoio!$F$2:$G$8,2,FALSE)</f>
        <v xml:space="preserve">SEGUNDA </v>
      </c>
      <c r="K42" s="31" t="str">
        <f t="shared" si="4"/>
        <v xml:space="preserve"> 12 horas</v>
      </c>
    </row>
    <row r="43" spans="2:11" ht="24" customHeight="1" x14ac:dyDescent="0.2">
      <c r="B43" s="19">
        <v>46133</v>
      </c>
      <c r="C43" s="26" t="s">
        <v>35</v>
      </c>
      <c r="D43" s="26" t="s">
        <v>36</v>
      </c>
      <c r="E43" s="21"/>
      <c r="F43" s="21" t="str">
        <f t="shared" si="2"/>
        <v>TERÇANoturno 12 horas</v>
      </c>
      <c r="G43" s="22"/>
      <c r="I43" s="31">
        <f t="shared" si="3"/>
        <v>2</v>
      </c>
      <c r="J43" s="31" t="str">
        <f>VLOOKUP(I43,Apoio!$F$2:$G$8,2,FALSE)</f>
        <v>TERÇA</v>
      </c>
      <c r="K43" s="31" t="str">
        <f t="shared" si="4"/>
        <v xml:space="preserve"> 12 horas</v>
      </c>
    </row>
    <row r="44" spans="2:11" ht="24" customHeight="1" x14ac:dyDescent="0.2">
      <c r="B44" s="19">
        <v>46134</v>
      </c>
      <c r="C44" s="26" t="s">
        <v>21</v>
      </c>
      <c r="D44" s="26" t="s">
        <v>22</v>
      </c>
      <c r="E44" s="21"/>
      <c r="F44" s="21" t="str">
        <f t="shared" si="2"/>
        <v>QUARTADiurno 12 horas</v>
      </c>
      <c r="G44" s="22"/>
      <c r="I44" s="31">
        <f t="shared" si="3"/>
        <v>3</v>
      </c>
      <c r="J44" s="31" t="str">
        <f>VLOOKUP(I44,Apoio!$F$2:$G$8,2,FALSE)</f>
        <v>QUARTA</v>
      </c>
      <c r="K44" s="31" t="str">
        <f t="shared" si="4"/>
        <v xml:space="preserve"> 12 horas</v>
      </c>
    </row>
    <row r="45" spans="2:11" ht="24" customHeight="1" thickBot="1" x14ac:dyDescent="0.25">
      <c r="B45" s="20">
        <v>46135</v>
      </c>
      <c r="C45" s="32" t="s">
        <v>35</v>
      </c>
      <c r="D45" s="32" t="s">
        <v>36</v>
      </c>
      <c r="E45" s="23"/>
      <c r="F45" s="23" t="str">
        <f t="shared" si="2"/>
        <v>QUINTANoturno 12 horas</v>
      </c>
      <c r="G45" s="24"/>
      <c r="I45" s="31">
        <f t="shared" si="3"/>
        <v>4</v>
      </c>
      <c r="J45" s="31" t="str">
        <f>VLOOKUP(I45,Apoio!$F$2:$G$8,2,FALSE)</f>
        <v>QUINTA</v>
      </c>
      <c r="K45" s="31" t="str">
        <f t="shared" si="4"/>
        <v xml:space="preserve"> 12 horas</v>
      </c>
    </row>
    <row r="46" spans="2:11" ht="3" customHeight="1" x14ac:dyDescent="0.2">
      <c r="B46" s="55" t="s">
        <v>14</v>
      </c>
      <c r="C46" s="56"/>
      <c r="D46" s="52" t="s">
        <v>34</v>
      </c>
      <c r="E46" s="53"/>
      <c r="F46" s="47" t="s">
        <v>49</v>
      </c>
      <c r="G46" s="48"/>
    </row>
    <row r="47" spans="2:11" ht="51.75" customHeight="1" x14ac:dyDescent="0.2">
      <c r="B47" s="57"/>
      <c r="C47" s="58"/>
      <c r="D47" s="54"/>
      <c r="E47" s="54"/>
      <c r="F47" s="49"/>
      <c r="G47" s="50"/>
    </row>
    <row r="48" spans="2:11" x14ac:dyDescent="0.2"/>
    <row r="49" x14ac:dyDescent="0.2"/>
  </sheetData>
  <sheetProtection selectLockedCells="1" sort="0" autoFilter="0" pivotTables="0"/>
  <mergeCells count="16">
    <mergeCell ref="D11:E11"/>
    <mergeCell ref="F11:G11"/>
    <mergeCell ref="F12:G12"/>
    <mergeCell ref="F46:G47"/>
    <mergeCell ref="B7:G7"/>
    <mergeCell ref="D46:E47"/>
    <mergeCell ref="B46:C47"/>
    <mergeCell ref="B12:C12"/>
    <mergeCell ref="B10:C10"/>
    <mergeCell ref="D10:G10"/>
    <mergeCell ref="D8:G8"/>
    <mergeCell ref="B11:C11"/>
    <mergeCell ref="B8:C8"/>
    <mergeCell ref="B9:C9"/>
    <mergeCell ref="D9:G9"/>
    <mergeCell ref="D12:E12"/>
  </mergeCells>
  <phoneticPr fontId="13" type="noConversion"/>
  <dataValidations count="3">
    <dataValidation type="list" allowBlank="1" showInputMessage="1" showErrorMessage="1" sqref="D12" xr:uid="{00000000-0002-0000-0000-000001000000}">
      <formula1>"MEDICO PLANTONISTA, MEDICO DIARISTA"</formula1>
    </dataValidation>
    <dataValidation type="list" allowBlank="1" showInputMessage="1" showErrorMessage="1" sqref="C15:C45" xr:uid="{14988566-9420-7E42-8796-19E07BC83C37}">
      <formula1>"Diurno, Noturno,"</formula1>
    </dataValidation>
    <dataValidation type="list" allowBlank="1" showInputMessage="1" showErrorMessage="1" sqref="D15:D45" xr:uid="{F3F8A11D-4025-E34E-A2CB-5DD5313F37AF}">
      <formula1>INDIRECT(C15)</formula1>
    </dataValidation>
  </dataValidations>
  <pageMargins left="0.511811024" right="0.511811024" top="0.78740157499999996" bottom="0.78740157499999996" header="0.31496062000000002" footer="0.31496062000000002"/>
  <pageSetup paperSize="9" scale="6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Apoio!$D$2:$D$17</xm:f>
          </x14:formula1>
          <xm:sqref>F12</xm:sqref>
        </x14:dataValidation>
        <x14:dataValidation type="list" allowBlank="1" showInputMessage="1" showErrorMessage="1" xr:uid="{F483873F-A54C-A147-9D2D-C6F68D77FF2E}">
          <x14:formula1>
            <xm:f>Apoio!$I$2:$I$13</xm:f>
          </x14:formula1>
          <xm:sqref>D11:E11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26DB-6D46-DA46-8577-81E60936A5B7}">
  <dimension ref="F12:M22"/>
  <sheetViews>
    <sheetView workbookViewId="0">
      <selection activeCell="I12" sqref="I12:I13"/>
    </sheetView>
  </sheetViews>
  <sheetFormatPr baseColWidth="10" defaultRowHeight="15" x14ac:dyDescent="0.2"/>
  <cols>
    <col min="9" max="9" width="13.1640625" bestFit="1" customWidth="1"/>
  </cols>
  <sheetData>
    <row r="12" spans="6:13" ht="18" x14ac:dyDescent="0.2">
      <c r="F12" s="81">
        <v>46100</v>
      </c>
      <c r="G12" s="80">
        <v>469</v>
      </c>
      <c r="H12" s="35" t="s">
        <v>65</v>
      </c>
      <c r="I12" s="82"/>
      <c r="J12" s="83" t="s">
        <v>67</v>
      </c>
      <c r="K12" s="84" t="s">
        <v>68</v>
      </c>
      <c r="L12" s="80"/>
    </row>
    <row r="13" spans="6:13" ht="16" x14ac:dyDescent="0.2">
      <c r="F13" s="81"/>
      <c r="G13" s="80"/>
      <c r="H13" s="36" t="s">
        <v>66</v>
      </c>
      <c r="I13" s="82"/>
      <c r="J13" s="83"/>
      <c r="K13" s="84"/>
      <c r="L13" s="80"/>
    </row>
    <row r="14" spans="6:13" ht="18" x14ac:dyDescent="0.2">
      <c r="F14" s="34">
        <v>46100</v>
      </c>
      <c r="G14" s="35">
        <v>468</v>
      </c>
      <c r="H14" s="35" t="s">
        <v>65</v>
      </c>
      <c r="I14" s="38">
        <v>43200.28</v>
      </c>
      <c r="J14" s="39" t="s">
        <v>67</v>
      </c>
      <c r="K14" s="84" t="s">
        <v>69</v>
      </c>
      <c r="L14" s="80"/>
      <c r="M14" s="80"/>
    </row>
    <row r="15" spans="6:13" ht="16" customHeight="1" x14ac:dyDescent="0.2">
      <c r="F15" s="34"/>
      <c r="G15" s="35"/>
      <c r="H15" s="36" t="s">
        <v>66</v>
      </c>
      <c r="I15" s="38"/>
      <c r="J15" s="39"/>
      <c r="K15" s="84"/>
      <c r="L15" s="80"/>
      <c r="M15" s="80"/>
    </row>
    <row r="16" spans="6:13" ht="18" x14ac:dyDescent="0.2">
      <c r="F16" s="34">
        <v>46088</v>
      </c>
      <c r="G16" s="35">
        <v>452</v>
      </c>
      <c r="H16" s="35" t="s">
        <v>65</v>
      </c>
      <c r="I16" s="38"/>
      <c r="J16" s="39" t="s">
        <v>67</v>
      </c>
      <c r="K16" s="84" t="s">
        <v>70</v>
      </c>
      <c r="L16" s="80"/>
      <c r="M16" s="80"/>
    </row>
    <row r="17" spans="6:13" ht="16" customHeight="1" x14ac:dyDescent="0.2">
      <c r="F17" s="34"/>
      <c r="G17" s="35"/>
      <c r="H17" s="36" t="s">
        <v>66</v>
      </c>
      <c r="I17" s="38"/>
      <c r="J17" s="39"/>
      <c r="K17" s="84"/>
      <c r="L17" s="80"/>
      <c r="M17" s="80"/>
    </row>
    <row r="18" spans="6:13" ht="18" x14ac:dyDescent="0.2">
      <c r="F18" s="34">
        <v>46087</v>
      </c>
      <c r="G18" s="35">
        <v>447</v>
      </c>
      <c r="H18" s="35" t="s">
        <v>65</v>
      </c>
      <c r="I18" s="38">
        <v>313558.94</v>
      </c>
      <c r="J18" s="39" t="s">
        <v>67</v>
      </c>
      <c r="K18" s="84" t="s">
        <v>71</v>
      </c>
      <c r="L18" s="80"/>
      <c r="M18" s="80"/>
    </row>
    <row r="19" spans="6:13" ht="16" customHeight="1" x14ac:dyDescent="0.2">
      <c r="F19" s="34"/>
      <c r="G19" s="35"/>
      <c r="H19" s="36" t="s">
        <v>66</v>
      </c>
      <c r="I19" s="38"/>
      <c r="J19" s="39"/>
      <c r="K19" s="84"/>
      <c r="L19" s="80"/>
      <c r="M19" s="80"/>
    </row>
    <row r="20" spans="6:13" ht="18" x14ac:dyDescent="0.2">
      <c r="F20" s="35"/>
    </row>
    <row r="22" spans="6:13" x14ac:dyDescent="0.2">
      <c r="I22" s="37">
        <f>SUM(I12:I18)</f>
        <v>356759.22</v>
      </c>
    </row>
  </sheetData>
  <mergeCells count="15">
    <mergeCell ref="M18:M19"/>
    <mergeCell ref="K18:K19"/>
    <mergeCell ref="L18:L19"/>
    <mergeCell ref="M14:M15"/>
    <mergeCell ref="K16:K17"/>
    <mergeCell ref="L16:L17"/>
    <mergeCell ref="M16:M17"/>
    <mergeCell ref="K14:K15"/>
    <mergeCell ref="L14:L15"/>
    <mergeCell ref="L12:L13"/>
    <mergeCell ref="F12:F13"/>
    <mergeCell ref="G12:G13"/>
    <mergeCell ref="I12:I13"/>
    <mergeCell ref="J12:J13"/>
    <mergeCell ref="K12:K13"/>
  </mergeCells>
  <hyperlinks>
    <hyperlink ref="K12" r:id="rId1" display="javascript:;" xr:uid="{E7965E17-ECC7-294D-8969-504B88699840}"/>
    <hyperlink ref="K14" r:id="rId2" display="javascript:;" xr:uid="{33658CEE-A1B1-4349-A167-B5287D824FD0}"/>
    <hyperlink ref="K16" r:id="rId3" display="javascript:;" xr:uid="{FF8578EF-4E89-384D-B429-7DCBF853B8A2}"/>
    <hyperlink ref="K18" r:id="rId4" display="javascript:;" xr:uid="{21E3D3CC-F411-1041-99A6-20D2A7CD98D4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7101-D6D2-734E-BC74-1C8BA69656B3}">
  <dimension ref="A1:J25"/>
  <sheetViews>
    <sheetView topLeftCell="C1" zoomScale="202" zoomScaleNormal="202" workbookViewId="0">
      <selection activeCell="H11" sqref="H11"/>
    </sheetView>
  </sheetViews>
  <sheetFormatPr baseColWidth="10" defaultRowHeight="15" x14ac:dyDescent="0.2"/>
  <cols>
    <col min="1" max="2" width="12.33203125" bestFit="1" customWidth="1"/>
    <col min="3" max="3" width="13.6640625" bestFit="1" customWidth="1"/>
    <col min="4" max="4" width="34" bestFit="1" customWidth="1"/>
  </cols>
  <sheetData>
    <row r="1" spans="1:10" x14ac:dyDescent="0.2">
      <c r="A1" s="30" t="s">
        <v>21</v>
      </c>
      <c r="B1" s="30" t="s">
        <v>35</v>
      </c>
      <c r="D1" s="30" t="s">
        <v>48</v>
      </c>
      <c r="F1" s="29"/>
      <c r="G1" s="29"/>
      <c r="I1" s="30" t="s">
        <v>51</v>
      </c>
      <c r="J1" s="30" t="s">
        <v>64</v>
      </c>
    </row>
    <row r="2" spans="1:10" x14ac:dyDescent="0.2">
      <c r="A2" s="28" t="s">
        <v>22</v>
      </c>
      <c r="B2" s="28" t="s">
        <v>36</v>
      </c>
      <c r="C2" s="25"/>
      <c r="D2" s="27" t="s">
        <v>23</v>
      </c>
      <c r="F2" s="27">
        <v>1</v>
      </c>
      <c r="G2" s="27" t="s">
        <v>29</v>
      </c>
      <c r="I2" s="27" t="s">
        <v>52</v>
      </c>
      <c r="J2" s="27">
        <v>2026</v>
      </c>
    </row>
    <row r="3" spans="1:10" x14ac:dyDescent="0.2">
      <c r="A3" s="28" t="s">
        <v>37</v>
      </c>
      <c r="B3" s="28"/>
      <c r="C3" s="25"/>
      <c r="D3" s="27" t="s">
        <v>26</v>
      </c>
      <c r="F3" s="27">
        <v>2</v>
      </c>
      <c r="G3" s="27" t="s">
        <v>30</v>
      </c>
      <c r="I3" s="27" t="s">
        <v>53</v>
      </c>
      <c r="J3" s="27">
        <v>2027</v>
      </c>
    </row>
    <row r="4" spans="1:10" x14ac:dyDescent="0.2">
      <c r="A4" s="28" t="s">
        <v>38</v>
      </c>
      <c r="B4" s="28"/>
      <c r="C4" s="25"/>
      <c r="D4" s="27" t="s">
        <v>44</v>
      </c>
      <c r="F4" s="27">
        <v>3</v>
      </c>
      <c r="G4" s="27" t="s">
        <v>31</v>
      </c>
      <c r="I4" s="27" t="s">
        <v>54</v>
      </c>
      <c r="J4" s="27">
        <v>2028</v>
      </c>
    </row>
    <row r="5" spans="1:10" x14ac:dyDescent="0.2">
      <c r="A5" s="25"/>
      <c r="B5" s="25"/>
      <c r="C5" s="25"/>
      <c r="D5" s="27" t="s">
        <v>46</v>
      </c>
      <c r="F5" s="27">
        <v>4</v>
      </c>
      <c r="G5" s="27" t="s">
        <v>32</v>
      </c>
      <c r="I5" s="27" t="s">
        <v>55</v>
      </c>
      <c r="J5" s="27">
        <v>2029</v>
      </c>
    </row>
    <row r="6" spans="1:10" x14ac:dyDescent="0.2">
      <c r="A6" s="25"/>
      <c r="B6" s="25"/>
      <c r="C6" s="25"/>
      <c r="D6" s="27" t="s">
        <v>23</v>
      </c>
      <c r="F6" s="27">
        <v>5</v>
      </c>
      <c r="G6" s="27" t="s">
        <v>33</v>
      </c>
      <c r="I6" s="27" t="s">
        <v>56</v>
      </c>
      <c r="J6" s="27">
        <v>2030</v>
      </c>
    </row>
    <row r="7" spans="1:10" x14ac:dyDescent="0.2">
      <c r="A7" s="25"/>
      <c r="B7" s="25"/>
      <c r="C7" s="25"/>
      <c r="D7" s="27" t="s">
        <v>24</v>
      </c>
      <c r="F7" s="27">
        <v>6</v>
      </c>
      <c r="G7" s="27" t="s">
        <v>28</v>
      </c>
      <c r="I7" s="27" t="s">
        <v>57</v>
      </c>
      <c r="J7" s="27">
        <v>2031</v>
      </c>
    </row>
    <row r="8" spans="1:10" x14ac:dyDescent="0.2">
      <c r="A8" s="25"/>
      <c r="B8" s="25"/>
      <c r="C8" s="25"/>
      <c r="D8" s="27" t="s">
        <v>25</v>
      </c>
      <c r="F8" s="27">
        <v>7</v>
      </c>
      <c r="G8" s="27" t="s">
        <v>27</v>
      </c>
      <c r="I8" s="27" t="s">
        <v>58</v>
      </c>
      <c r="J8" s="27">
        <v>2032</v>
      </c>
    </row>
    <row r="9" spans="1:10" x14ac:dyDescent="0.2">
      <c r="A9" s="25"/>
      <c r="B9" s="25"/>
      <c r="C9" s="25"/>
      <c r="D9" s="27" t="s">
        <v>47</v>
      </c>
      <c r="I9" s="27" t="s">
        <v>59</v>
      </c>
      <c r="J9" s="27">
        <v>2033</v>
      </c>
    </row>
    <row r="10" spans="1:10" x14ac:dyDescent="0.2">
      <c r="A10" s="25"/>
      <c r="B10" s="25"/>
      <c r="C10" s="25"/>
      <c r="D10" s="27" t="s">
        <v>40</v>
      </c>
      <c r="I10" s="27" t="s">
        <v>60</v>
      </c>
      <c r="J10" s="27">
        <v>2034</v>
      </c>
    </row>
    <row r="11" spans="1:10" x14ac:dyDescent="0.2">
      <c r="A11" s="25"/>
      <c r="B11" s="25"/>
      <c r="C11" s="25"/>
      <c r="D11" s="27" t="s">
        <v>41</v>
      </c>
      <c r="I11" s="27" t="s">
        <v>61</v>
      </c>
      <c r="J11" s="27">
        <v>2035</v>
      </c>
    </row>
    <row r="12" spans="1:10" x14ac:dyDescent="0.2">
      <c r="A12" s="25"/>
      <c r="B12" s="25"/>
      <c r="C12" s="25"/>
      <c r="D12" s="27" t="s">
        <v>45</v>
      </c>
      <c r="I12" s="27" t="s">
        <v>62</v>
      </c>
      <c r="J12" s="27"/>
    </row>
    <row r="13" spans="1:10" x14ac:dyDescent="0.2">
      <c r="A13" s="25"/>
      <c r="B13" s="25"/>
      <c r="C13" s="25"/>
      <c r="D13" s="27" t="s">
        <v>42</v>
      </c>
      <c r="I13" s="27" t="s">
        <v>63</v>
      </c>
      <c r="J13" s="27"/>
    </row>
    <row r="14" spans="1:10" x14ac:dyDescent="0.2">
      <c r="C14" s="25"/>
      <c r="D14" s="27" t="s">
        <v>43</v>
      </c>
    </row>
    <row r="15" spans="1:10" x14ac:dyDescent="0.2">
      <c r="C15" s="25"/>
    </row>
    <row r="16" spans="1:10" x14ac:dyDescent="0.2">
      <c r="C16" s="25"/>
    </row>
    <row r="17" spans="3:3" x14ac:dyDescent="0.2">
      <c r="C17" s="25"/>
    </row>
    <row r="18" spans="3:3" x14ac:dyDescent="0.2">
      <c r="C18" s="25"/>
    </row>
    <row r="19" spans="3:3" x14ac:dyDescent="0.2">
      <c r="C19" s="25"/>
    </row>
    <row r="20" spans="3:3" x14ac:dyDescent="0.2">
      <c r="C20" s="25"/>
    </row>
    <row r="21" spans="3:3" x14ac:dyDescent="0.2">
      <c r="C21" s="25"/>
    </row>
    <row r="22" spans="3:3" x14ac:dyDescent="0.2">
      <c r="C22" s="25"/>
    </row>
    <row r="23" spans="3:3" x14ac:dyDescent="0.2">
      <c r="C23" s="25"/>
    </row>
    <row r="24" spans="3:3" x14ac:dyDescent="0.2">
      <c r="C24" s="25"/>
    </row>
    <row r="25" spans="3:3" x14ac:dyDescent="0.2">
      <c r="C25" s="25"/>
    </row>
  </sheetData>
  <phoneticPr fontId="1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impressao</vt:lpstr>
      <vt:lpstr>Planilha2</vt:lpstr>
      <vt:lpstr>Apoio</vt:lpstr>
      <vt:lpstr>impressao!Area_de_impressao</vt:lpstr>
      <vt:lpstr>Diurno</vt:lpstr>
      <vt:lpstr>Noturno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Marcela Andrade da S. Sena</dc:creator>
  <cp:lastModifiedBy>Joel Ladislau</cp:lastModifiedBy>
  <cp:lastPrinted>2026-03-02T09:05:02Z</cp:lastPrinted>
  <dcterms:created xsi:type="dcterms:W3CDTF">2024-09-13T12:47:10Z</dcterms:created>
  <dcterms:modified xsi:type="dcterms:W3CDTF">2026-07-17T02:02:44Z</dcterms:modified>
</cp:coreProperties>
</file>